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chellmartin-my.sharepoint.com/personal/dpaulli_itmmi_com/Documents/Desktop/"/>
    </mc:Choice>
  </mc:AlternateContent>
  <xr:revisionPtr revIDLastSave="22" documentId="13_ncr:1_{F67B0AB9-6034-47BC-93D8-B44B949CD936}" xr6:coauthVersionLast="47" xr6:coauthVersionMax="47" xr10:uidLastSave="{B2E93EA7-0F37-4FCB-A17C-B06405BCB241}"/>
  <bookViews>
    <workbookView xWindow="-108" yWindow="-108" windowWidth="23256" windowHeight="12456" xr2:uid="{BEE821A7-9744-4708-8A0E-6707598A1D65}"/>
  </bookViews>
  <sheets>
    <sheet name="Salary Model Gener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6" i="1"/>
  <c r="D90" i="1"/>
  <c r="D75" i="1"/>
  <c r="D74" i="1"/>
  <c r="D68" i="1"/>
  <c r="D92" i="1" s="1"/>
  <c r="D66" i="1"/>
  <c r="D52" i="1"/>
  <c r="D80" i="1" s="1"/>
  <c r="C50" i="1"/>
  <c r="D69" i="1" s="1"/>
  <c r="E41" i="1"/>
  <c r="E38" i="1"/>
  <c r="E35" i="1"/>
  <c r="E32" i="1"/>
  <c r="E24" i="1"/>
  <c r="E23" i="1"/>
  <c r="E19" i="1"/>
  <c r="D17" i="1"/>
  <c r="D43" i="1" s="1"/>
  <c r="D55" i="1" s="1"/>
  <c r="E55" i="1" s="1"/>
  <c r="E9" i="1"/>
  <c r="E6" i="1"/>
  <c r="D76" i="1" l="1"/>
  <c r="D61" i="1"/>
  <c r="D78" i="1"/>
  <c r="D81" i="1"/>
  <c r="D82" i="1"/>
  <c r="D83" i="1"/>
  <c r="D67" i="1"/>
  <c r="D91" i="1" s="1"/>
  <c r="D84" i="1"/>
  <c r="D79" i="1" l="1"/>
  <c r="D85" i="1" s="1"/>
  <c r="D87" i="1" s="1"/>
  <c r="D62" i="1"/>
  <c r="F61" i="1"/>
</calcChain>
</file>

<file path=xl/sharedStrings.xml><?xml version="1.0" encoding="utf-8"?>
<sst xmlns="http://schemas.openxmlformats.org/spreadsheetml/2006/main" count="89" uniqueCount="83">
  <si>
    <t>GENERIC - Staff Aug. Salary Model (NO MARK UP RULES)  ---- EXCEPTIONS ONLY (Approval needed)</t>
  </si>
  <si>
    <t xml:space="preserve">In this model Consultant receives Paid Vacation and Paid Holidays </t>
  </si>
  <si>
    <t>In this model MMI pays for Individual Medical - CNS pays for upgrades ie Family Plan, Dental, Etc.</t>
  </si>
  <si>
    <t>(Input all Yellow Fields to calculate)</t>
  </si>
  <si>
    <t>GROSS PROFIT &amp; COMPLIANCE ANALYSIS</t>
  </si>
  <si>
    <t>RAW Markup based on your input</t>
  </si>
  <si>
    <t>Input HOURLY Bill Rate</t>
  </si>
  <si>
    <t>Less Discount if any</t>
  </si>
  <si>
    <t>Net Amount Received per hour</t>
  </si>
  <si>
    <t>Annual Salary  (INCL any Per Diem)</t>
  </si>
  <si>
    <t xml:space="preserve">   -  </t>
  </si>
  <si>
    <t>Daily allowed per diem (if any)</t>
  </si>
  <si>
    <t>Select Payroll Tax load 15.5% select drop down</t>
  </si>
  <si>
    <t>Medical Cost</t>
  </si>
  <si>
    <t>Payroll Tax $$ (Per Diem Excluded)</t>
  </si>
  <si>
    <t>h1b filing fees</t>
  </si>
  <si>
    <r>
      <t xml:space="preserve">H1b </t>
    </r>
    <r>
      <rPr>
        <b/>
        <u/>
        <sz val="10"/>
        <rFont val="Arial"/>
        <family val="2"/>
      </rPr>
      <t>Transfer / Extension</t>
    </r>
    <r>
      <rPr>
        <b/>
        <sz val="10"/>
        <rFont val="Arial"/>
        <family val="2"/>
      </rPr>
      <t xml:space="preserve"> - Legal + USCIS Filing Fees</t>
    </r>
  </si>
  <si>
    <t>(MMI must pay)</t>
  </si>
  <si>
    <t>H1 Transfer fees</t>
  </si>
  <si>
    <t>(Employer costs)</t>
  </si>
  <si>
    <t>H1 Extension fees</t>
  </si>
  <si>
    <t>H1B Amendment</t>
  </si>
  <si>
    <r>
      <t xml:space="preserve">H1b </t>
    </r>
    <r>
      <rPr>
        <b/>
        <u/>
        <sz val="10"/>
        <rFont val="Arial"/>
        <family val="2"/>
      </rPr>
      <t>Amendment</t>
    </r>
    <r>
      <rPr>
        <b/>
        <sz val="10"/>
        <rFont val="Arial"/>
        <family val="2"/>
      </rPr>
      <t xml:space="preserve"> - Legal + USCIS/Filing Fees</t>
    </r>
  </si>
  <si>
    <t>Existing H1: [Rate reduction or Location Change]</t>
  </si>
  <si>
    <t>Rate Reduction / Location change</t>
  </si>
  <si>
    <t>Premium processing (includes shipping fee)</t>
  </si>
  <si>
    <t>(MMI or CNS can  pay)</t>
  </si>
  <si>
    <t>(Optional upgrade: Usually want CNS to pay for upgrade fee)</t>
  </si>
  <si>
    <t>Prem Proc</t>
  </si>
  <si>
    <t>OPTIONAL Premium Processing Upgrade</t>
  </si>
  <si>
    <t>(GC-Phase1) Atty Fee, Labor Cert &amp; Advertising</t>
  </si>
  <si>
    <t>(MMI usually does not start green card process for 1 year after start date)</t>
  </si>
  <si>
    <t>Green Card</t>
  </si>
  <si>
    <t>(GC-Phase 2) Atty. Fee, I-140 Filing</t>
  </si>
  <si>
    <t>(Employer or Employee costs)</t>
  </si>
  <si>
    <t>(Typically applies to year 2 or later - usually zero for new candidates</t>
  </si>
  <si>
    <t>Other Expenses (Relocation etc)</t>
  </si>
  <si>
    <t>(Get Mgr Appr)</t>
  </si>
  <si>
    <t>Projected Annual Cost</t>
  </si>
  <si>
    <t>Available work days (26 PAYROLLS / YR)</t>
  </si>
  <si>
    <t>Holidays</t>
  </si>
  <si>
    <t>Vacation</t>
  </si>
  <si>
    <t>Floater Days</t>
  </si>
  <si>
    <r>
      <t xml:space="preserve">Bench Time </t>
    </r>
    <r>
      <rPr>
        <b/>
        <i/>
        <sz val="10"/>
        <color indexed="12"/>
        <rFont val="Arial"/>
        <family val="2"/>
      </rPr>
      <t>(If any - Get Mgr approval)</t>
    </r>
  </si>
  <si>
    <t xml:space="preserve">  Subtotal of billable days</t>
  </si>
  <si>
    <t>Input hourly referral fee</t>
  </si>
  <si>
    <t xml:space="preserve"> Referral Fee (If any)</t>
  </si>
  <si>
    <t xml:space="preserve">    Daily    </t>
  </si>
  <si>
    <t xml:space="preserve">    Hourly    </t>
  </si>
  <si>
    <t xml:space="preserve"> Average Daily Cost</t>
  </si>
  <si>
    <t xml:space="preserve">Average Gross Profit </t>
  </si>
  <si>
    <t>Gross Profit %</t>
  </si>
  <si>
    <t xml:space="preserve"> SALARY TERMS FOR CONSULTANT CONTRACT</t>
  </si>
  <si>
    <t/>
  </si>
  <si>
    <t>TOTAL COMPENSATION</t>
  </si>
  <si>
    <t>SALARY EXPRESSED AS AN HOURLY</t>
  </si>
  <si>
    <t>PER DIEM EXPRESSED AS AN HOURLY</t>
  </si>
  <si>
    <t>TOTAL NUMBER OF PAID DAYS OFF</t>
  </si>
  <si>
    <t>ASSUMED HOURS PER DAY</t>
  </si>
  <si>
    <t>CNS ON BILLING REPORT</t>
  </si>
  <si>
    <t>Profitability based on giving consultant only 19 days off (241 days)</t>
  </si>
  <si>
    <t>BILL</t>
  </si>
  <si>
    <t>DISCOUNTS</t>
  </si>
  <si>
    <t>NET</t>
  </si>
  <si>
    <t>PAY</t>
  </si>
  <si>
    <t>PR TAXES</t>
  </si>
  <si>
    <t>REFERRAL FEES</t>
  </si>
  <si>
    <t>PER DIEM</t>
  </si>
  <si>
    <t>IMMIGRATION COSTS</t>
  </si>
  <si>
    <t>MEDICAL COSTS</t>
  </si>
  <si>
    <t xml:space="preserve">OTHER </t>
  </si>
  <si>
    <t xml:space="preserve">TOTAL COST </t>
  </si>
  <si>
    <t>GROSS PROFIT</t>
  </si>
  <si>
    <t>MMI PAYROLL SYSTEM</t>
  </si>
  <si>
    <t>HOURLY BILL RATE</t>
  </si>
  <si>
    <t>HOURLY W2 PAY RATE</t>
  </si>
  <si>
    <t>HOURLY PER DIEM PAY RATE</t>
  </si>
  <si>
    <t>(Rate listed is MMI's contribution, check with HR for Emp.'s cost responsibility)</t>
  </si>
  <si>
    <r>
      <t xml:space="preserve">E-3 (Australian) </t>
    </r>
    <r>
      <rPr>
        <b/>
        <u/>
        <sz val="10"/>
        <rFont val="Arial"/>
        <family val="2"/>
      </rPr>
      <t xml:space="preserve">Transfer </t>
    </r>
    <r>
      <rPr>
        <b/>
        <sz val="10"/>
        <rFont val="Arial"/>
        <family val="2"/>
      </rPr>
      <t>- Legal + USCIS Filing fees</t>
    </r>
  </si>
  <si>
    <t>E-3 Transfer</t>
  </si>
  <si>
    <t>Annual Individual Average Medical cost to MMI  ($610.31/Mo)</t>
  </si>
  <si>
    <t>Model revised 02.2025</t>
  </si>
  <si>
    <t>(CNS can  pay)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</si>
</sst>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\ h:mm\ AM/PM"/>
    <numFmt numFmtId="165" formatCode="0.0%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u/>
      <sz val="10"/>
      <name val="Arial"/>
      <family val="2"/>
    </font>
    <font>
      <i/>
      <sz val="8"/>
      <color rgb="FFFF0000"/>
      <name val="Arial"/>
      <family val="2"/>
    </font>
    <font>
      <sz val="8"/>
      <name val="Arial"/>
      <family val="2"/>
    </font>
    <font>
      <i/>
      <sz val="8"/>
      <color indexed="12"/>
      <name val="Arial"/>
      <family val="2"/>
    </font>
    <font>
      <i/>
      <sz val="8"/>
      <color rgb="FF0000FF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b/>
      <i/>
      <sz val="10"/>
      <color indexed="12"/>
      <name val="Arial"/>
      <family val="2"/>
    </font>
    <font>
      <b/>
      <u/>
      <sz val="8"/>
      <name val="Arial"/>
      <family val="2"/>
    </font>
    <font>
      <b/>
      <u/>
      <sz val="18"/>
      <name val="Arial"/>
      <family val="2"/>
    </font>
    <font>
      <b/>
      <i/>
      <u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4" applyFont="1" applyProtection="1">
      <protection hidden="1"/>
    </xf>
    <xf numFmtId="0" fontId="3" fillId="0" borderId="0" xfId="4" applyFont="1" applyProtection="1">
      <protection hidden="1"/>
    </xf>
    <xf numFmtId="44" fontId="3" fillId="0" borderId="0" xfId="2" applyFont="1" applyProtection="1">
      <protection hidden="1"/>
    </xf>
    <xf numFmtId="164" fontId="4" fillId="0" borderId="0" xfId="2" applyNumberFormat="1" applyFont="1" applyAlignment="1" applyProtection="1">
      <alignment horizontal="right"/>
      <protection hidden="1"/>
    </xf>
    <xf numFmtId="164" fontId="2" fillId="0" borderId="0" xfId="2" applyNumberFormat="1" applyFont="1" applyAlignment="1" applyProtection="1">
      <alignment horizontal="right"/>
      <protection hidden="1"/>
    </xf>
    <xf numFmtId="0" fontId="5" fillId="0" borderId="0" xfId="4" applyFont="1" applyProtection="1">
      <protection hidden="1"/>
    </xf>
    <xf numFmtId="44" fontId="1" fillId="0" borderId="0" xfId="2" applyProtection="1">
      <protection hidden="1"/>
    </xf>
    <xf numFmtId="0" fontId="1" fillId="0" borderId="0" xfId="4" applyProtection="1">
      <protection hidden="1"/>
    </xf>
    <xf numFmtId="0" fontId="1" fillId="0" borderId="4" xfId="4" applyBorder="1" applyProtection="1">
      <protection hidden="1"/>
    </xf>
    <xf numFmtId="0" fontId="7" fillId="2" borderId="0" xfId="4" applyFont="1" applyFill="1" applyAlignment="1" applyProtection="1">
      <alignment horizontal="right"/>
      <protection hidden="1"/>
    </xf>
    <xf numFmtId="44" fontId="8" fillId="2" borderId="0" xfId="2" applyFont="1" applyFill="1" applyBorder="1" applyProtection="1">
      <protection hidden="1"/>
    </xf>
    <xf numFmtId="165" fontId="7" fillId="2" borderId="5" xfId="3" applyNumberFormat="1" applyFont="1" applyFill="1" applyBorder="1" applyProtection="1">
      <protection hidden="1"/>
    </xf>
    <xf numFmtId="0" fontId="9" fillId="0" borderId="6" xfId="4" applyFont="1" applyBorder="1" applyProtection="1">
      <protection hidden="1"/>
    </xf>
    <xf numFmtId="44" fontId="1" fillId="0" borderId="0" xfId="2" applyFill="1" applyProtection="1">
      <protection hidden="1"/>
    </xf>
    <xf numFmtId="0" fontId="4" fillId="0" borderId="0" xfId="4" applyFont="1" applyAlignment="1" applyProtection="1">
      <alignment horizontal="right"/>
      <protection hidden="1"/>
    </xf>
    <xf numFmtId="44" fontId="1" fillId="0" borderId="0" xfId="2" applyBorder="1" applyProtection="1">
      <protection hidden="1"/>
    </xf>
    <xf numFmtId="0" fontId="4" fillId="0" borderId="0" xfId="4" applyFont="1" applyProtection="1">
      <protection hidden="1"/>
    </xf>
    <xf numFmtId="44" fontId="4" fillId="3" borderId="0" xfId="2" applyFont="1" applyFill="1" applyBorder="1" applyProtection="1">
      <protection hidden="1"/>
    </xf>
    <xf numFmtId="165" fontId="4" fillId="0" borderId="0" xfId="4" applyNumberFormat="1" applyFont="1" applyAlignment="1" applyProtection="1">
      <alignment horizontal="right"/>
      <protection hidden="1"/>
    </xf>
    <xf numFmtId="44" fontId="4" fillId="3" borderId="7" xfId="2" applyFont="1" applyFill="1" applyBorder="1" applyProtection="1">
      <protection hidden="1"/>
    </xf>
    <xf numFmtId="9" fontId="4" fillId="0" borderId="0" xfId="4" applyNumberFormat="1" applyFont="1" applyProtection="1">
      <protection hidden="1"/>
    </xf>
    <xf numFmtId="44" fontId="4" fillId="0" borderId="0" xfId="4" applyNumberFormat="1" applyFont="1" applyProtection="1">
      <protection hidden="1"/>
    </xf>
    <xf numFmtId="0" fontId="4" fillId="0" borderId="6" xfId="4" applyFont="1" applyBorder="1" applyProtection="1">
      <protection hidden="1"/>
    </xf>
    <xf numFmtId="0" fontId="1" fillId="4" borderId="4" xfId="4" applyFill="1" applyBorder="1" applyProtection="1">
      <protection hidden="1"/>
    </xf>
    <xf numFmtId="0" fontId="1" fillId="4" borderId="0" xfId="4" applyFill="1" applyProtection="1">
      <protection hidden="1"/>
    </xf>
    <xf numFmtId="44" fontId="1" fillId="4" borderId="0" xfId="2" applyFill="1" applyBorder="1" applyProtection="1">
      <protection hidden="1"/>
    </xf>
    <xf numFmtId="0" fontId="4" fillId="4" borderId="0" xfId="4" applyFont="1" applyFill="1" applyProtection="1">
      <protection hidden="1"/>
    </xf>
    <xf numFmtId="0" fontId="1" fillId="4" borderId="6" xfId="4" applyFill="1" applyBorder="1" applyProtection="1">
      <protection hidden="1"/>
    </xf>
    <xf numFmtId="44" fontId="1" fillId="0" borderId="0" xfId="2" applyFill="1" applyBorder="1" applyProtection="1">
      <protection hidden="1"/>
    </xf>
    <xf numFmtId="0" fontId="1" fillId="0" borderId="6" xfId="4" applyBorder="1" applyProtection="1">
      <protection hidden="1"/>
    </xf>
    <xf numFmtId="0" fontId="1" fillId="0" borderId="0" xfId="4" applyAlignment="1" applyProtection="1">
      <alignment horizontal="center"/>
      <protection hidden="1"/>
    </xf>
    <xf numFmtId="0" fontId="1" fillId="0" borderId="0" xfId="4" applyAlignment="1" applyProtection="1">
      <alignment horizontal="right"/>
      <protection hidden="1"/>
    </xf>
    <xf numFmtId="165" fontId="4" fillId="0" borderId="0" xfId="4" applyNumberFormat="1" applyFont="1" applyProtection="1">
      <protection hidden="1"/>
    </xf>
    <xf numFmtId="165" fontId="4" fillId="5" borderId="0" xfId="4" applyNumberFormat="1" applyFont="1" applyFill="1" applyProtection="1">
      <protection hidden="1"/>
    </xf>
    <xf numFmtId="44" fontId="4" fillId="0" borderId="0" xfId="2" applyFont="1" applyBorder="1" applyProtection="1">
      <protection hidden="1"/>
    </xf>
    <xf numFmtId="165" fontId="7" fillId="0" borderId="7" xfId="4" applyNumberFormat="1" applyFont="1" applyBorder="1" applyAlignment="1" applyProtection="1">
      <alignment horizontal="center"/>
      <protection hidden="1"/>
    </xf>
    <xf numFmtId="44" fontId="8" fillId="0" borderId="0" xfId="2" applyFont="1" applyAlignment="1" applyProtection="1">
      <alignment horizontal="center"/>
      <protection hidden="1"/>
    </xf>
    <xf numFmtId="165" fontId="1" fillId="0" borderId="0" xfId="3" applyNumberFormat="1" applyAlignment="1" applyProtection="1">
      <alignment horizontal="center"/>
      <protection hidden="1"/>
    </xf>
    <xf numFmtId="44" fontId="8" fillId="0" borderId="0" xfId="5" applyFont="1" applyAlignment="1" applyProtection="1">
      <alignment horizontal="center"/>
      <protection hidden="1"/>
    </xf>
    <xf numFmtId="0" fontId="4" fillId="0" borderId="4" xfId="4" applyFont="1" applyBorder="1" applyAlignment="1" applyProtection="1">
      <alignment horizontal="right"/>
      <protection hidden="1"/>
    </xf>
    <xf numFmtId="165" fontId="8" fillId="0" borderId="0" xfId="4" applyNumberFormat="1" applyFont="1" applyAlignment="1" applyProtection="1">
      <alignment horizontal="center"/>
      <protection hidden="1"/>
    </xf>
    <xf numFmtId="0" fontId="10" fillId="0" borderId="0" xfId="4" applyFont="1" applyAlignment="1" applyProtection="1">
      <alignment horizontal="right"/>
      <protection hidden="1"/>
    </xf>
    <xf numFmtId="0" fontId="8" fillId="0" borderId="0" xfId="4" applyFont="1" applyAlignment="1" applyProtection="1">
      <alignment horizontal="center"/>
      <protection hidden="1"/>
    </xf>
    <xf numFmtId="0" fontId="12" fillId="0" borderId="0" xfId="4" applyFont="1" applyAlignment="1" applyProtection="1">
      <alignment horizontal="center"/>
      <protection hidden="1"/>
    </xf>
    <xf numFmtId="0" fontId="13" fillId="0" borderId="4" xfId="4" applyFont="1" applyBorder="1" applyProtection="1">
      <protection hidden="1"/>
    </xf>
    <xf numFmtId="0" fontId="14" fillId="0" borderId="0" xfId="4" applyFont="1" applyAlignment="1" applyProtection="1">
      <alignment horizontal="right"/>
      <protection hidden="1"/>
    </xf>
    <xf numFmtId="8" fontId="15" fillId="0" borderId="0" xfId="4" applyNumberFormat="1" applyFont="1" applyAlignment="1" applyProtection="1">
      <alignment horizontal="right"/>
      <protection hidden="1"/>
    </xf>
    <xf numFmtId="0" fontId="14" fillId="0" borderId="6" xfId="4" applyFont="1" applyBorder="1" applyAlignment="1" applyProtection="1">
      <alignment horizontal="left"/>
      <protection hidden="1"/>
    </xf>
    <xf numFmtId="44" fontId="13" fillId="0" borderId="0" xfId="2" applyFont="1" applyFill="1" applyProtection="1">
      <protection hidden="1"/>
    </xf>
    <xf numFmtId="0" fontId="13" fillId="0" borderId="0" xfId="4" applyFont="1" applyProtection="1">
      <protection hidden="1"/>
    </xf>
    <xf numFmtId="165" fontId="13" fillId="0" borderId="0" xfId="3" applyNumberFormat="1" applyFont="1" applyFill="1" applyAlignment="1" applyProtection="1">
      <alignment horizontal="center"/>
      <protection hidden="1"/>
    </xf>
    <xf numFmtId="0" fontId="4" fillId="0" borderId="7" xfId="4" applyFont="1" applyBorder="1" applyAlignment="1" applyProtection="1">
      <alignment horizontal="center"/>
      <protection hidden="1"/>
    </xf>
    <xf numFmtId="44" fontId="9" fillId="0" borderId="0" xfId="2" applyFont="1" applyFill="1" applyBorder="1" applyProtection="1">
      <protection hidden="1"/>
    </xf>
    <xf numFmtId="0" fontId="9" fillId="0" borderId="0" xfId="4" applyFont="1" applyProtection="1">
      <protection hidden="1"/>
    </xf>
    <xf numFmtId="0" fontId="13" fillId="0" borderId="6" xfId="4" applyFont="1" applyBorder="1" applyProtection="1">
      <protection hidden="1"/>
    </xf>
    <xf numFmtId="44" fontId="0" fillId="0" borderId="0" xfId="2" applyFont="1" applyProtection="1">
      <protection hidden="1"/>
    </xf>
    <xf numFmtId="0" fontId="9" fillId="0" borderId="0" xfId="4" applyFont="1" applyAlignment="1" applyProtection="1">
      <alignment horizontal="right"/>
      <protection hidden="1"/>
    </xf>
    <xf numFmtId="0" fontId="16" fillId="0" borderId="0" xfId="4" applyFont="1" applyAlignment="1" applyProtection="1">
      <alignment horizontal="right"/>
      <protection hidden="1"/>
    </xf>
    <xf numFmtId="0" fontId="17" fillId="0" borderId="0" xfId="4" applyFont="1" applyProtection="1">
      <protection hidden="1"/>
    </xf>
    <xf numFmtId="44" fontId="4" fillId="0" borderId="7" xfId="2" applyFont="1" applyBorder="1" applyProtection="1">
      <protection hidden="1"/>
    </xf>
    <xf numFmtId="0" fontId="4" fillId="0" borderId="4" xfId="4" applyFont="1" applyBorder="1" applyProtection="1">
      <protection hidden="1"/>
    </xf>
    <xf numFmtId="0" fontId="7" fillId="0" borderId="0" xfId="4" applyFont="1" applyAlignment="1" applyProtection="1">
      <alignment horizontal="right"/>
      <protection hidden="1"/>
    </xf>
    <xf numFmtId="166" fontId="7" fillId="0" borderId="0" xfId="1" applyNumberFormat="1" applyFont="1" applyBorder="1" applyAlignment="1" applyProtection="1">
      <alignment horizontal="right"/>
      <protection hidden="1"/>
    </xf>
    <xf numFmtId="166" fontId="7" fillId="3" borderId="7" xfId="1" applyNumberFormat="1" applyFont="1" applyFill="1" applyBorder="1" applyAlignment="1" applyProtection="1">
      <alignment horizontal="right"/>
      <protection hidden="1"/>
    </xf>
    <xf numFmtId="0" fontId="7" fillId="0" borderId="0" xfId="4" applyFont="1" applyProtection="1">
      <protection hidden="1"/>
    </xf>
    <xf numFmtId="0" fontId="19" fillId="0" borderId="0" xfId="4" applyFont="1" applyAlignment="1" applyProtection="1">
      <alignment horizontal="center"/>
      <protection hidden="1"/>
    </xf>
    <xf numFmtId="0" fontId="8" fillId="0" borderId="0" xfId="4" applyFont="1" applyProtection="1">
      <protection hidden="1"/>
    </xf>
    <xf numFmtId="44" fontId="7" fillId="0" borderId="0" xfId="2" applyFont="1" applyBorder="1" applyProtection="1">
      <protection hidden="1"/>
    </xf>
    <xf numFmtId="0" fontId="8" fillId="0" borderId="0" xfId="4" applyFont="1" applyAlignment="1" applyProtection="1">
      <alignment horizontal="right"/>
      <protection hidden="1"/>
    </xf>
    <xf numFmtId="0" fontId="11" fillId="0" borderId="0" xfId="4" applyFont="1" applyAlignment="1" applyProtection="1">
      <alignment horizontal="center"/>
      <protection hidden="1"/>
    </xf>
    <xf numFmtId="165" fontId="1" fillId="0" borderId="0" xfId="3" applyNumberFormat="1" applyBorder="1" applyAlignment="1" applyProtection="1">
      <alignment horizontal="center"/>
      <protection hidden="1"/>
    </xf>
    <xf numFmtId="0" fontId="4" fillId="4" borderId="0" xfId="4" applyFont="1" applyFill="1" applyAlignment="1" applyProtection="1">
      <alignment horizontal="right"/>
      <protection hidden="1"/>
    </xf>
    <xf numFmtId="44" fontId="4" fillId="4" borderId="0" xfId="2" applyFont="1" applyFill="1" applyBorder="1" applyProtection="1">
      <protection hidden="1"/>
    </xf>
    <xf numFmtId="0" fontId="1" fillId="6" borderId="0" xfId="4" applyFill="1" applyProtection="1">
      <protection hidden="1"/>
    </xf>
    <xf numFmtId="0" fontId="11" fillId="6" borderId="0" xfId="4" applyFont="1" applyFill="1" applyAlignment="1" applyProtection="1">
      <alignment horizontal="center"/>
      <protection hidden="1"/>
    </xf>
    <xf numFmtId="0" fontId="4" fillId="6" borderId="0" xfId="4" applyFont="1" applyFill="1" applyAlignment="1" applyProtection="1">
      <alignment horizontal="right"/>
      <protection hidden="1"/>
    </xf>
    <xf numFmtId="44" fontId="7" fillId="6" borderId="0" xfId="2" applyFont="1" applyFill="1" applyBorder="1" applyProtection="1">
      <protection hidden="1"/>
    </xf>
    <xf numFmtId="44" fontId="7" fillId="0" borderId="0" xfId="2" applyFont="1" applyFill="1" applyBorder="1" applyProtection="1">
      <protection hidden="1"/>
    </xf>
    <xf numFmtId="44" fontId="9" fillId="2" borderId="8" xfId="2" applyFont="1" applyFill="1" applyBorder="1" applyAlignment="1" applyProtection="1">
      <alignment horizontal="center"/>
      <protection hidden="1"/>
    </xf>
    <xf numFmtId="165" fontId="4" fillId="6" borderId="0" xfId="3" applyNumberFormat="1" applyFont="1" applyFill="1" applyBorder="1" applyProtection="1">
      <protection hidden="1"/>
    </xf>
    <xf numFmtId="0" fontId="1" fillId="0" borderId="9" xfId="4" applyBorder="1" applyProtection="1">
      <protection hidden="1"/>
    </xf>
    <xf numFmtId="0" fontId="4" fillId="0" borderId="7" xfId="4" applyFont="1" applyBorder="1" applyAlignment="1" applyProtection="1">
      <alignment horizontal="right"/>
      <protection hidden="1"/>
    </xf>
    <xf numFmtId="0" fontId="1" fillId="0" borderId="7" xfId="4" applyBorder="1" applyProtection="1">
      <protection hidden="1"/>
    </xf>
    <xf numFmtId="44" fontId="4" fillId="0" borderId="7" xfId="2" applyFont="1" applyFill="1" applyBorder="1" applyProtection="1">
      <protection hidden="1"/>
    </xf>
    <xf numFmtId="0" fontId="4" fillId="0" borderId="7" xfId="4" applyFont="1" applyBorder="1" applyProtection="1">
      <protection hidden="1"/>
    </xf>
    <xf numFmtId="0" fontId="4" fillId="0" borderId="10" xfId="4" applyFont="1" applyBorder="1" applyProtection="1">
      <protection hidden="1"/>
    </xf>
    <xf numFmtId="44" fontId="1" fillId="0" borderId="0" xfId="2" applyFont="1" applyProtection="1">
      <protection hidden="1"/>
    </xf>
    <xf numFmtId="0" fontId="13" fillId="0" borderId="4" xfId="4" quotePrefix="1" applyFont="1" applyBorder="1" applyProtection="1">
      <protection hidden="1"/>
    </xf>
    <xf numFmtId="0" fontId="13" fillId="0" borderId="0" xfId="4" applyFont="1" applyAlignment="1" applyProtection="1">
      <alignment horizontal="right"/>
      <protection hidden="1"/>
    </xf>
    <xf numFmtId="44" fontId="13" fillId="0" borderId="0" xfId="4" applyNumberFormat="1" applyFont="1" applyProtection="1">
      <protection hidden="1"/>
    </xf>
    <xf numFmtId="44" fontId="13" fillId="0" borderId="0" xfId="2" applyFont="1" applyProtection="1">
      <protection hidden="1"/>
    </xf>
    <xf numFmtId="166" fontId="13" fillId="0" borderId="0" xfId="1" applyNumberFormat="1" applyFont="1" applyBorder="1" applyProtection="1">
      <protection hidden="1"/>
    </xf>
    <xf numFmtId="0" fontId="13" fillId="0" borderId="9" xfId="4" applyFont="1" applyBorder="1" applyProtection="1">
      <protection hidden="1"/>
    </xf>
    <xf numFmtId="0" fontId="13" fillId="0" borderId="7" xfId="4" applyFont="1" applyBorder="1" applyAlignment="1" applyProtection="1">
      <alignment horizontal="right"/>
      <protection hidden="1"/>
    </xf>
    <xf numFmtId="44" fontId="13" fillId="0" borderId="7" xfId="2" applyFont="1" applyBorder="1" applyProtection="1">
      <protection hidden="1"/>
    </xf>
    <xf numFmtId="166" fontId="13" fillId="0" borderId="7" xfId="1" applyNumberFormat="1" applyFont="1" applyBorder="1" applyProtection="1">
      <protection hidden="1"/>
    </xf>
    <xf numFmtId="0" fontId="13" fillId="0" borderId="7" xfId="4" applyFont="1" applyBorder="1" applyProtection="1">
      <protection hidden="1"/>
    </xf>
    <xf numFmtId="0" fontId="13" fillId="0" borderId="10" xfId="4" applyFont="1" applyBorder="1" applyProtection="1">
      <protection hidden="1"/>
    </xf>
    <xf numFmtId="44" fontId="13" fillId="0" borderId="0" xfId="5" applyFont="1" applyProtection="1">
      <protection hidden="1"/>
    </xf>
    <xf numFmtId="0" fontId="1" fillId="0" borderId="0" xfId="4"/>
    <xf numFmtId="44" fontId="13" fillId="0" borderId="7" xfId="4" applyNumberFormat="1" applyFont="1" applyBorder="1" applyProtection="1">
      <protection hidden="1"/>
    </xf>
    <xf numFmtId="44" fontId="13" fillId="0" borderId="0" xfId="2" applyFont="1" applyBorder="1" applyProtection="1">
      <protection hidden="1"/>
    </xf>
    <xf numFmtId="0" fontId="11" fillId="0" borderId="7" xfId="4" applyFont="1" applyBorder="1" applyAlignment="1" applyProtection="1">
      <alignment horizontal="center"/>
      <protection hidden="1"/>
    </xf>
    <xf numFmtId="0" fontId="20" fillId="0" borderId="1" xfId="4" applyFont="1" applyBorder="1" applyAlignment="1" applyProtection="1">
      <alignment horizontal="center"/>
      <protection hidden="1"/>
    </xf>
    <xf numFmtId="0" fontId="20" fillId="0" borderId="2" xfId="4" applyFont="1" applyBorder="1" applyAlignment="1" applyProtection="1">
      <alignment horizontal="center"/>
      <protection hidden="1"/>
    </xf>
    <xf numFmtId="0" fontId="20" fillId="0" borderId="3" xfId="4" applyFont="1" applyBorder="1" applyAlignment="1" applyProtection="1">
      <alignment horizontal="center"/>
      <protection hidden="1"/>
    </xf>
    <xf numFmtId="0" fontId="6" fillId="0" borderId="1" xfId="4" applyFont="1" applyBorder="1" applyAlignment="1" applyProtection="1">
      <alignment horizontal="center"/>
      <protection hidden="1"/>
    </xf>
    <xf numFmtId="0" fontId="6" fillId="0" borderId="2" xfId="4" applyFont="1" applyBorder="1" applyAlignment="1" applyProtection="1">
      <alignment horizontal="center"/>
      <protection hidden="1"/>
    </xf>
    <xf numFmtId="0" fontId="6" fillId="0" borderId="3" xfId="4" applyFont="1" applyBorder="1" applyAlignment="1" applyProtection="1">
      <alignment horizontal="center"/>
      <protection hidden="1"/>
    </xf>
    <xf numFmtId="0" fontId="4" fillId="0" borderId="0" xfId="4" applyFont="1" applyAlignment="1" applyProtection="1">
      <alignment horizontal="right"/>
      <protection hidden="1"/>
    </xf>
    <xf numFmtId="0" fontId="21" fillId="0" borderId="4" xfId="4" applyFont="1" applyBorder="1" applyAlignment="1" applyProtection="1">
      <alignment horizontal="center"/>
      <protection hidden="1"/>
    </xf>
    <xf numFmtId="0" fontId="21" fillId="0" borderId="0" xfId="4" applyFont="1" applyAlignment="1" applyProtection="1">
      <alignment horizontal="center"/>
      <protection hidden="1"/>
    </xf>
    <xf numFmtId="0" fontId="21" fillId="0" borderId="6" xfId="4" applyFont="1" applyBorder="1" applyAlignment="1" applyProtection="1">
      <alignment horizontal="center"/>
      <protection hidden="1"/>
    </xf>
  </cellXfs>
  <cellStyles count="6">
    <cellStyle name="Comma" xfId="1" builtinId="3"/>
    <cellStyle name="Currency" xfId="2" builtinId="4"/>
    <cellStyle name="Currency 2 3" xfId="5" xr:uid="{E3DEA8EE-E3BE-461A-A49D-49C1359D2C39}"/>
    <cellStyle name="Normal" xfId="0" builtinId="0"/>
    <cellStyle name="Normal 3" xfId="4" xr:uid="{EEFEC32F-1217-493E-B646-33FA5C7AD1A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4E2C-A004-4378-8ADF-091493A5DA62}">
  <sheetPr>
    <tabColor theme="3" tint="0.39997558519241921"/>
    <pageSetUpPr fitToPage="1"/>
  </sheetPr>
  <dimension ref="A1:P92"/>
  <sheetViews>
    <sheetView tabSelected="1" topLeftCell="A12" zoomScale="110" zoomScaleNormal="110" workbookViewId="0">
      <selection activeCell="D15" sqref="D15"/>
    </sheetView>
  </sheetViews>
  <sheetFormatPr defaultColWidth="9.109375" defaultRowHeight="13.2" x14ac:dyDescent="0.25"/>
  <cols>
    <col min="1" max="1" width="17.5546875" style="8" customWidth="1"/>
    <col min="2" max="2" width="47.5546875" style="8" customWidth="1"/>
    <col min="3" max="3" width="14.44140625" style="7" customWidth="1"/>
    <col min="4" max="4" width="16.44140625" style="17" customWidth="1"/>
    <col min="5" max="5" width="16.44140625" style="8" customWidth="1"/>
    <col min="6" max="6" width="39.109375" style="8" customWidth="1"/>
    <col min="7" max="7" width="13.109375" style="7" customWidth="1"/>
    <col min="8" max="8" width="9.44140625" style="8" customWidth="1"/>
    <col min="9" max="9" width="15.44140625" style="8" hidden="1" customWidth="1"/>
    <col min="10" max="10" width="9.44140625" style="8" hidden="1" customWidth="1"/>
    <col min="11" max="11" width="11.44140625" style="8" hidden="1" customWidth="1"/>
    <col min="12" max="12" width="9.109375" style="8" hidden="1" customWidth="1"/>
    <col min="13" max="13" width="16.88671875" style="8" hidden="1" customWidth="1"/>
    <col min="14" max="14" width="10.88671875" style="8" hidden="1" customWidth="1"/>
    <col min="15" max="16" width="9.109375" style="8" hidden="1" customWidth="1"/>
    <col min="17" max="35" width="9.109375" style="8" customWidth="1"/>
    <col min="36" max="16384" width="9.109375" style="8"/>
  </cols>
  <sheetData>
    <row r="1" spans="1:13" s="2" customFormat="1" ht="21" x14ac:dyDescent="0.4">
      <c r="A1" s="1" t="s">
        <v>0</v>
      </c>
      <c r="C1" s="3"/>
      <c r="D1" s="1"/>
      <c r="G1" s="3"/>
    </row>
    <row r="2" spans="1:13" s="2" customFormat="1" ht="21" x14ac:dyDescent="0.4">
      <c r="A2" s="1" t="s">
        <v>1</v>
      </c>
      <c r="C2" s="3"/>
      <c r="D2" s="1"/>
      <c r="F2" s="4" t="s">
        <v>81</v>
      </c>
      <c r="G2" s="3"/>
    </row>
    <row r="3" spans="1:13" s="2" customFormat="1" ht="21" x14ac:dyDescent="0.4">
      <c r="A3" s="1" t="s">
        <v>2</v>
      </c>
      <c r="C3" s="3"/>
      <c r="D3" s="1"/>
      <c r="F3" s="5"/>
      <c r="G3" s="3"/>
    </row>
    <row r="4" spans="1:13" s="2" customFormat="1" ht="21.6" thickBot="1" x14ac:dyDescent="0.45">
      <c r="A4" s="6" t="s">
        <v>3</v>
      </c>
      <c r="C4" s="3"/>
      <c r="D4" s="1"/>
      <c r="F4" s="5"/>
      <c r="G4" s="3"/>
    </row>
    <row r="5" spans="1:13" ht="23.4" thickBot="1" x14ac:dyDescent="0.45">
      <c r="A5" s="107" t="s">
        <v>4</v>
      </c>
      <c r="B5" s="108"/>
      <c r="C5" s="108"/>
      <c r="D5" s="108"/>
      <c r="E5" s="108"/>
      <c r="F5" s="109"/>
    </row>
    <row r="6" spans="1:13" x14ac:dyDescent="0.25">
      <c r="A6" s="9"/>
      <c r="B6" s="10" t="s">
        <v>5</v>
      </c>
      <c r="C6" s="11"/>
      <c r="D6" s="11"/>
      <c r="E6" s="12" t="e">
        <f>ROUND((+E7-((+D12/260)/8))/((+D12/260)/8),3)</f>
        <v>#DIV/0!</v>
      </c>
      <c r="F6" s="13"/>
      <c r="G6" s="14"/>
    </row>
    <row r="7" spans="1:13" x14ac:dyDescent="0.25">
      <c r="A7" s="9"/>
      <c r="B7" s="15" t="s">
        <v>6</v>
      </c>
      <c r="C7" s="16"/>
      <c r="E7" s="18"/>
      <c r="F7" s="13"/>
      <c r="M7" s="19"/>
    </row>
    <row r="8" spans="1:13" ht="13.8" thickBot="1" x14ac:dyDescent="0.3">
      <c r="A8" s="9"/>
      <c r="B8" s="15" t="s">
        <v>7</v>
      </c>
      <c r="C8" s="16"/>
      <c r="E8" s="20"/>
      <c r="F8" s="13"/>
      <c r="M8" s="21"/>
    </row>
    <row r="9" spans="1:13" x14ac:dyDescent="0.25">
      <c r="A9" s="9"/>
      <c r="B9" s="15" t="s">
        <v>8</v>
      </c>
      <c r="C9" s="16"/>
      <c r="E9" s="22">
        <f>+E8+E7</f>
        <v>0</v>
      </c>
      <c r="F9" s="23"/>
    </row>
    <row r="10" spans="1:13" ht="5.25" customHeight="1" x14ac:dyDescent="0.25">
      <c r="A10" s="24"/>
      <c r="B10" s="25"/>
      <c r="C10" s="26"/>
      <c r="D10" s="27"/>
      <c r="E10" s="25"/>
      <c r="F10" s="28"/>
    </row>
    <row r="11" spans="1:13" ht="5.25" customHeight="1" x14ac:dyDescent="0.25">
      <c r="A11" s="24"/>
      <c r="C11" s="29"/>
      <c r="F11" s="30"/>
    </row>
    <row r="12" spans="1:13" x14ac:dyDescent="0.25">
      <c r="A12" s="9"/>
      <c r="B12" s="15" t="s">
        <v>9</v>
      </c>
      <c r="C12" s="8"/>
      <c r="D12" s="18"/>
      <c r="F12" s="30"/>
      <c r="I12" s="31"/>
      <c r="M12" s="32" t="s">
        <v>10</v>
      </c>
    </row>
    <row r="13" spans="1:13" x14ac:dyDescent="0.25">
      <c r="A13" s="9"/>
      <c r="B13" s="15" t="s">
        <v>11</v>
      </c>
      <c r="C13" s="18">
        <v>0</v>
      </c>
      <c r="D13" s="8"/>
      <c r="F13" s="30"/>
      <c r="G13" s="14"/>
      <c r="I13" s="31"/>
      <c r="M13" s="19">
        <v>0.155</v>
      </c>
    </row>
    <row r="14" spans="1:13" x14ac:dyDescent="0.25">
      <c r="A14" s="9"/>
      <c r="B14" s="15"/>
      <c r="C14" s="8"/>
      <c r="D14" s="8"/>
      <c r="F14" s="30"/>
      <c r="G14" s="14"/>
      <c r="I14" s="31"/>
      <c r="M14" s="33"/>
    </row>
    <row r="15" spans="1:13" x14ac:dyDescent="0.25">
      <c r="A15" s="110" t="s">
        <v>12</v>
      </c>
      <c r="B15" s="110"/>
      <c r="C15" s="110"/>
      <c r="D15" s="34"/>
      <c r="F15" s="30"/>
      <c r="G15" s="14"/>
      <c r="I15" s="31"/>
      <c r="M15" s="21"/>
    </row>
    <row r="16" spans="1:13" ht="13.8" thickBot="1" x14ac:dyDescent="0.3">
      <c r="A16" s="15"/>
      <c r="C16" s="8"/>
      <c r="D16" s="35"/>
      <c r="F16" s="30"/>
      <c r="G16" s="14"/>
      <c r="I16" s="31"/>
      <c r="M16" s="36" t="s">
        <v>13</v>
      </c>
    </row>
    <row r="17" spans="1:14" x14ac:dyDescent="0.25">
      <c r="A17" s="9"/>
      <c r="B17" s="15" t="s">
        <v>14</v>
      </c>
      <c r="C17" s="15"/>
      <c r="D17" s="35">
        <f>(+D12-C13*260)*(+D15)</f>
        <v>0</v>
      </c>
      <c r="E17" s="35"/>
      <c r="F17" s="30"/>
      <c r="I17" s="31"/>
      <c r="M17" s="37">
        <v>0</v>
      </c>
    </row>
    <row r="18" spans="1:14" x14ac:dyDescent="0.25">
      <c r="A18" s="9"/>
      <c r="B18" s="15"/>
      <c r="C18" s="8"/>
      <c r="D18" s="35"/>
      <c r="F18" s="30"/>
      <c r="I18" s="38"/>
      <c r="M18" s="39">
        <v>7323.72</v>
      </c>
    </row>
    <row r="19" spans="1:14" x14ac:dyDescent="0.25">
      <c r="A19" s="9"/>
      <c r="B19" s="40" t="s">
        <v>80</v>
      </c>
      <c r="C19" s="8"/>
      <c r="D19" s="18"/>
      <c r="E19" s="35">
        <f>(+D19/240)/8</f>
        <v>0</v>
      </c>
      <c r="F19" s="30"/>
      <c r="I19" s="38"/>
      <c r="M19" s="41"/>
    </row>
    <row r="20" spans="1:14" ht="13.8" thickBot="1" x14ac:dyDescent="0.3">
      <c r="A20" s="45"/>
      <c r="B20" s="42" t="s">
        <v>77</v>
      </c>
      <c r="C20" s="43"/>
      <c r="D20" s="35"/>
      <c r="F20" s="30"/>
      <c r="I20" s="38"/>
      <c r="M20" s="36" t="s">
        <v>15</v>
      </c>
    </row>
    <row r="21" spans="1:14" x14ac:dyDescent="0.25">
      <c r="A21" s="9"/>
      <c r="C21" s="8"/>
      <c r="D21" s="35"/>
      <c r="F21" s="30"/>
      <c r="I21" s="38"/>
      <c r="M21" s="37">
        <v>0</v>
      </c>
      <c r="N21" s="37">
        <v>0</v>
      </c>
    </row>
    <row r="22" spans="1:14" x14ac:dyDescent="0.25">
      <c r="A22" s="9"/>
      <c r="B22" s="15" t="s">
        <v>16</v>
      </c>
      <c r="C22" s="44" t="s">
        <v>17</v>
      </c>
      <c r="F22" s="30"/>
      <c r="I22" s="38"/>
      <c r="M22" s="37">
        <v>5550</v>
      </c>
      <c r="N22" s="37">
        <v>4650</v>
      </c>
    </row>
    <row r="23" spans="1:14" s="50" customFormat="1" x14ac:dyDescent="0.25">
      <c r="A23" s="45"/>
      <c r="B23" s="46" t="s">
        <v>18</v>
      </c>
      <c r="C23" s="47">
        <v>5550</v>
      </c>
      <c r="D23" s="18"/>
      <c r="E23" s="35">
        <f>(+D23/240)/8</f>
        <v>0</v>
      </c>
      <c r="F23" s="48" t="s">
        <v>19</v>
      </c>
      <c r="G23" s="49"/>
      <c r="I23" s="51"/>
      <c r="M23" s="37"/>
    </row>
    <row r="24" spans="1:14" s="50" customFormat="1" ht="13.8" thickBot="1" x14ac:dyDescent="0.3">
      <c r="A24" s="45"/>
      <c r="B24" s="46" t="s">
        <v>20</v>
      </c>
      <c r="C24" s="47">
        <v>4650</v>
      </c>
      <c r="D24" s="18"/>
      <c r="E24" s="35">
        <f>(+D24/240)/8</f>
        <v>0</v>
      </c>
      <c r="F24" s="48" t="s">
        <v>19</v>
      </c>
      <c r="G24" s="49"/>
      <c r="I24" s="51"/>
      <c r="M24" s="52" t="s">
        <v>21</v>
      </c>
    </row>
    <row r="25" spans="1:14" x14ac:dyDescent="0.25">
      <c r="A25" s="45"/>
      <c r="B25" s="46"/>
      <c r="C25" s="44"/>
      <c r="D25" s="53"/>
      <c r="E25" s="54"/>
      <c r="F25" s="55"/>
      <c r="I25" s="38"/>
      <c r="M25" s="37">
        <v>0</v>
      </c>
    </row>
    <row r="26" spans="1:14" s="50" customFormat="1" x14ac:dyDescent="0.25">
      <c r="A26" s="45"/>
      <c r="B26" s="15" t="s">
        <v>22</v>
      </c>
      <c r="C26" s="44" t="s">
        <v>17</v>
      </c>
      <c r="D26" s="18">
        <v>0</v>
      </c>
      <c r="E26" s="35">
        <f>(+D26/240)/8</f>
        <v>0</v>
      </c>
      <c r="F26" s="48" t="s">
        <v>23</v>
      </c>
      <c r="G26" s="49"/>
      <c r="I26" s="51"/>
      <c r="M26" s="37">
        <v>2850</v>
      </c>
    </row>
    <row r="27" spans="1:14" s="50" customFormat="1" x14ac:dyDescent="0.25">
      <c r="A27" s="45"/>
      <c r="B27" s="46" t="s">
        <v>24</v>
      </c>
      <c r="C27" s="47">
        <v>2850</v>
      </c>
      <c r="D27" s="53"/>
      <c r="E27" s="54"/>
      <c r="F27" s="55"/>
      <c r="G27" s="49"/>
      <c r="I27" s="51"/>
      <c r="M27" s="37"/>
    </row>
    <row r="28" spans="1:14" s="50" customFormat="1" ht="13.8" thickBot="1" x14ac:dyDescent="0.3">
      <c r="A28" s="45"/>
      <c r="B28" s="46"/>
      <c r="C28" s="47"/>
      <c r="D28" s="53"/>
      <c r="E28" s="54"/>
      <c r="F28" s="55"/>
      <c r="G28" s="49"/>
      <c r="I28" s="51"/>
      <c r="M28" s="103" t="s">
        <v>79</v>
      </c>
    </row>
    <row r="29" spans="1:14" s="50" customFormat="1" x14ac:dyDescent="0.25">
      <c r="A29" s="45"/>
      <c r="B29" s="15" t="s">
        <v>78</v>
      </c>
      <c r="C29" s="44" t="s">
        <v>17</v>
      </c>
      <c r="D29" s="18"/>
      <c r="E29" s="35">
        <f>(+D29/240)/8</f>
        <v>0</v>
      </c>
      <c r="F29" s="35"/>
      <c r="G29" s="49"/>
      <c r="I29" s="51"/>
      <c r="M29" s="37">
        <v>0</v>
      </c>
    </row>
    <row r="30" spans="1:14" s="50" customFormat="1" ht="14.4" x14ac:dyDescent="0.3">
      <c r="A30" s="45"/>
      <c r="C30" s="47">
        <v>3485</v>
      </c>
      <c r="D30" s="53"/>
      <c r="E30" s="54"/>
      <c r="F30" s="55"/>
      <c r="G30" s="49"/>
      <c r="I30" s="51"/>
      <c r="M30" s="56">
        <v>3485</v>
      </c>
    </row>
    <row r="31" spans="1:14" s="50" customFormat="1" ht="10.199999999999999" x14ac:dyDescent="0.2">
      <c r="A31" s="45"/>
      <c r="B31" s="46"/>
      <c r="D31" s="53"/>
      <c r="E31" s="54"/>
      <c r="F31" s="55"/>
      <c r="G31" s="49"/>
      <c r="I31" s="51"/>
    </row>
    <row r="32" spans="1:14" s="50" customFormat="1" ht="13.8" thickBot="1" x14ac:dyDescent="0.3">
      <c r="A32" s="45"/>
      <c r="B32" s="15" t="s">
        <v>25</v>
      </c>
      <c r="C32" s="44" t="s">
        <v>26</v>
      </c>
      <c r="D32" s="18">
        <v>0</v>
      </c>
      <c r="E32" s="35">
        <f>(+D32/240)/8</f>
        <v>0</v>
      </c>
      <c r="F32" s="48" t="s">
        <v>27</v>
      </c>
      <c r="G32" s="49"/>
      <c r="I32" s="51"/>
      <c r="M32" s="52" t="s">
        <v>28</v>
      </c>
    </row>
    <row r="33" spans="1:13" s="50" customFormat="1" x14ac:dyDescent="0.25">
      <c r="A33" s="45"/>
      <c r="B33" s="46" t="s">
        <v>29</v>
      </c>
      <c r="C33" s="47">
        <v>2805</v>
      </c>
      <c r="D33" s="53"/>
      <c r="E33" s="54"/>
      <c r="F33" s="55"/>
      <c r="G33" s="49"/>
      <c r="I33" s="51"/>
      <c r="M33" s="37">
        <v>0</v>
      </c>
    </row>
    <row r="34" spans="1:13" x14ac:dyDescent="0.25">
      <c r="A34" s="9"/>
      <c r="B34" s="57"/>
      <c r="C34" s="44"/>
      <c r="D34" s="53"/>
      <c r="E34" s="54"/>
      <c r="F34" s="55"/>
      <c r="I34" s="38"/>
      <c r="M34" s="37">
        <v>2805</v>
      </c>
    </row>
    <row r="35" spans="1:13" s="50" customFormat="1" x14ac:dyDescent="0.25">
      <c r="A35" s="45"/>
      <c r="B35" s="15" t="s">
        <v>30</v>
      </c>
      <c r="C35" s="44" t="s">
        <v>17</v>
      </c>
      <c r="D35" s="18"/>
      <c r="E35" s="35">
        <f>(+D35/240)/8</f>
        <v>0</v>
      </c>
      <c r="F35" s="48" t="s">
        <v>19</v>
      </c>
      <c r="G35" s="49"/>
      <c r="I35" s="51"/>
    </row>
    <row r="36" spans="1:13" s="50" customFormat="1" x14ac:dyDescent="0.25">
      <c r="A36" s="45"/>
      <c r="B36" s="46" t="s">
        <v>31</v>
      </c>
      <c r="C36" s="47">
        <v>5000</v>
      </c>
      <c r="D36" s="53"/>
      <c r="E36" s="54"/>
      <c r="F36" s="55"/>
      <c r="G36" s="49"/>
      <c r="I36" s="51"/>
      <c r="M36" s="8"/>
    </row>
    <row r="37" spans="1:13" ht="13.8" thickBot="1" x14ac:dyDescent="0.3">
      <c r="A37" s="9"/>
      <c r="B37" s="58"/>
      <c r="C37" s="44"/>
      <c r="D37" s="53"/>
      <c r="E37" s="54"/>
      <c r="F37" s="55"/>
      <c r="I37" s="38"/>
      <c r="M37" s="52" t="s">
        <v>32</v>
      </c>
    </row>
    <row r="38" spans="1:13" x14ac:dyDescent="0.25">
      <c r="A38" s="45"/>
      <c r="B38" s="15" t="s">
        <v>33</v>
      </c>
      <c r="C38" s="44" t="s">
        <v>82</v>
      </c>
      <c r="D38" s="18">
        <v>0</v>
      </c>
      <c r="E38" s="35">
        <f>(+D38/240)/8</f>
        <v>0</v>
      </c>
      <c r="F38" s="48" t="s">
        <v>34</v>
      </c>
      <c r="I38" s="38"/>
      <c r="M38" s="37">
        <v>0</v>
      </c>
    </row>
    <row r="39" spans="1:13" x14ac:dyDescent="0.25">
      <c r="A39" s="45"/>
      <c r="B39" s="46" t="s">
        <v>35</v>
      </c>
      <c r="C39" s="47">
        <v>4385</v>
      </c>
      <c r="D39" s="53"/>
      <c r="E39" s="17"/>
      <c r="F39" s="30"/>
      <c r="I39" s="38"/>
      <c r="M39" s="37">
        <v>5000</v>
      </c>
    </row>
    <row r="40" spans="1:13" x14ac:dyDescent="0.25">
      <c r="A40" s="45"/>
      <c r="B40" s="46"/>
      <c r="C40" s="47"/>
      <c r="D40" s="53"/>
      <c r="E40" s="17"/>
      <c r="F40" s="30"/>
      <c r="I40" s="38"/>
      <c r="M40" s="37"/>
    </row>
    <row r="41" spans="1:13" x14ac:dyDescent="0.25">
      <c r="A41" s="9"/>
      <c r="B41" s="15" t="s">
        <v>36</v>
      </c>
      <c r="C41" s="44" t="s">
        <v>37</v>
      </c>
      <c r="D41" s="18">
        <v>0</v>
      </c>
      <c r="E41" s="35">
        <f>(+D41/240)/8</f>
        <v>0</v>
      </c>
      <c r="F41" s="30"/>
      <c r="G41" s="8"/>
      <c r="M41" s="37">
        <v>0</v>
      </c>
    </row>
    <row r="42" spans="1:13" ht="13.8" thickBot="1" x14ac:dyDescent="0.3">
      <c r="A42" s="9"/>
      <c r="B42" s="58"/>
      <c r="C42" s="59"/>
      <c r="D42" s="60"/>
      <c r="F42" s="30"/>
      <c r="G42" s="8"/>
      <c r="M42" s="37">
        <v>4385</v>
      </c>
    </row>
    <row r="43" spans="1:13" s="17" customFormat="1" x14ac:dyDescent="0.25">
      <c r="A43" s="9"/>
      <c r="B43" s="15" t="s">
        <v>38</v>
      </c>
      <c r="C43" s="59"/>
      <c r="D43" s="35">
        <f>SUM(D12:D41)-D15</f>
        <v>0</v>
      </c>
      <c r="F43" s="23"/>
    </row>
    <row r="44" spans="1:13" s="17" customFormat="1" x14ac:dyDescent="0.25">
      <c r="A44" s="9"/>
      <c r="B44" s="8"/>
      <c r="C44" s="8"/>
      <c r="D44" s="35"/>
      <c r="F44" s="23"/>
    </row>
    <row r="45" spans="1:13" s="17" customFormat="1" x14ac:dyDescent="0.25">
      <c r="A45" s="61"/>
      <c r="B45" s="62" t="s">
        <v>39</v>
      </c>
      <c r="C45" s="62">
        <v>260</v>
      </c>
      <c r="F45" s="23"/>
    </row>
    <row r="46" spans="1:13" s="17" customFormat="1" x14ac:dyDescent="0.25">
      <c r="A46" s="61"/>
      <c r="B46" s="62" t="s">
        <v>40</v>
      </c>
      <c r="C46" s="63">
        <v>-9</v>
      </c>
      <c r="F46" s="23"/>
    </row>
    <row r="47" spans="1:13" s="17" customFormat="1" x14ac:dyDescent="0.25">
      <c r="A47" s="61"/>
      <c r="B47" s="62" t="s">
        <v>41</v>
      </c>
      <c r="C47" s="63">
        <v>-10</v>
      </c>
      <c r="F47" s="23"/>
    </row>
    <row r="48" spans="1:13" x14ac:dyDescent="0.25">
      <c r="A48" s="61"/>
      <c r="B48" s="62" t="s">
        <v>42</v>
      </c>
      <c r="C48" s="63">
        <v>0</v>
      </c>
      <c r="F48" s="30"/>
      <c r="G48" s="8"/>
    </row>
    <row r="49" spans="1:13" ht="13.8" thickBot="1" x14ac:dyDescent="0.3">
      <c r="A49" s="61"/>
      <c r="B49" s="62" t="s">
        <v>43</v>
      </c>
      <c r="C49" s="64">
        <v>0</v>
      </c>
      <c r="F49" s="30"/>
      <c r="G49" s="8"/>
    </row>
    <row r="50" spans="1:13" x14ac:dyDescent="0.25">
      <c r="A50" s="61"/>
      <c r="B50" s="62" t="s">
        <v>44</v>
      </c>
      <c r="C50" s="65">
        <f>SUM(C45:C49)</f>
        <v>241</v>
      </c>
      <c r="F50" s="30"/>
      <c r="G50" s="8"/>
    </row>
    <row r="51" spans="1:13" x14ac:dyDescent="0.25">
      <c r="A51" s="61"/>
      <c r="B51" s="62"/>
      <c r="C51" s="65"/>
      <c r="E51" s="66" t="s">
        <v>45</v>
      </c>
      <c r="F51" s="30"/>
      <c r="G51" s="8"/>
    </row>
    <row r="52" spans="1:13" x14ac:dyDescent="0.25">
      <c r="A52" s="9"/>
      <c r="B52" s="15" t="s">
        <v>46</v>
      </c>
      <c r="C52" s="67"/>
      <c r="D52" s="68">
        <f>+E52*8</f>
        <v>0</v>
      </c>
      <c r="E52" s="18">
        <v>0</v>
      </c>
      <c r="F52" s="30"/>
      <c r="I52" s="38"/>
    </row>
    <row r="53" spans="1:13" x14ac:dyDescent="0.25">
      <c r="A53" s="9"/>
      <c r="B53" s="69"/>
      <c r="C53" s="67"/>
      <c r="D53" s="65"/>
      <c r="F53" s="30"/>
      <c r="G53" s="8"/>
    </row>
    <row r="54" spans="1:13" x14ac:dyDescent="0.25">
      <c r="A54" s="9"/>
      <c r="B54" s="69"/>
      <c r="C54" s="67"/>
      <c r="D54" s="70" t="s">
        <v>47</v>
      </c>
      <c r="E54" s="70" t="s">
        <v>48</v>
      </c>
      <c r="F54" s="30"/>
      <c r="G54" s="8"/>
    </row>
    <row r="55" spans="1:13" x14ac:dyDescent="0.25">
      <c r="A55" s="9"/>
      <c r="B55" s="15" t="s">
        <v>49</v>
      </c>
      <c r="C55" s="67"/>
      <c r="D55" s="68">
        <f>+D43/C50+D52</f>
        <v>0</v>
      </c>
      <c r="E55" s="68">
        <f>+D55/8</f>
        <v>0</v>
      </c>
      <c r="F55" s="30"/>
      <c r="G55" s="8"/>
    </row>
    <row r="56" spans="1:13" x14ac:dyDescent="0.25">
      <c r="A56" s="9"/>
      <c r="B56" s="69"/>
      <c r="C56" s="67"/>
      <c r="D56" s="65"/>
      <c r="F56" s="30"/>
      <c r="I56" s="38"/>
    </row>
    <row r="57" spans="1:13" ht="6.75" customHeight="1" x14ac:dyDescent="0.25">
      <c r="A57" s="9"/>
      <c r="B57" s="69"/>
      <c r="C57" s="67"/>
      <c r="D57" s="65"/>
      <c r="E57" s="15"/>
      <c r="F57" s="23"/>
      <c r="I57" s="71"/>
    </row>
    <row r="58" spans="1:13" ht="6.75" customHeight="1" x14ac:dyDescent="0.25">
      <c r="A58" s="24"/>
      <c r="B58" s="72"/>
      <c r="C58" s="25"/>
      <c r="D58" s="73"/>
      <c r="E58" s="25"/>
      <c r="F58" s="28"/>
    </row>
    <row r="59" spans="1:13" ht="6.75" customHeight="1" x14ac:dyDescent="0.25">
      <c r="A59" s="9"/>
      <c r="C59" s="8"/>
      <c r="D59" s="35"/>
      <c r="F59" s="30"/>
    </row>
    <row r="60" spans="1:13" ht="13.8" thickBot="1" x14ac:dyDescent="0.3">
      <c r="A60" s="9"/>
      <c r="B60" s="74"/>
      <c r="C60" s="74"/>
      <c r="D60" s="75" t="s">
        <v>47</v>
      </c>
      <c r="E60" s="70"/>
      <c r="F60" s="30"/>
    </row>
    <row r="61" spans="1:13" ht="14.4" thickTop="1" thickBot="1" x14ac:dyDescent="0.3">
      <c r="A61" s="9"/>
      <c r="B61" s="76" t="s">
        <v>50</v>
      </c>
      <c r="C61" s="74"/>
      <c r="D61" s="77">
        <f>+E9*8-D55</f>
        <v>0</v>
      </c>
      <c r="E61" s="78"/>
      <c r="F61" s="79" t="str">
        <f>IF(D61&gt;70, "ACCEPTABLE PROFIT", "LOW PROFIT DEAL - GET MGR APPROVAL")</f>
        <v>LOW PROFIT DEAL - GET MGR APPROVAL</v>
      </c>
      <c r="M61" s="17"/>
    </row>
    <row r="62" spans="1:13" ht="13.8" thickTop="1" x14ac:dyDescent="0.25">
      <c r="A62" s="9"/>
      <c r="B62" s="76" t="s">
        <v>51</v>
      </c>
      <c r="C62" s="74"/>
      <c r="D62" s="80" t="e">
        <f>+D61/(E7*8)</f>
        <v>#DIV/0!</v>
      </c>
      <c r="E62" s="78"/>
      <c r="F62" s="23"/>
    </row>
    <row r="63" spans="1:13" s="17" customFormat="1" ht="13.8" thickBot="1" x14ac:dyDescent="0.3">
      <c r="A63" s="81"/>
      <c r="B63" s="82"/>
      <c r="C63" s="83"/>
      <c r="D63" s="84"/>
      <c r="E63" s="85"/>
      <c r="F63" s="86"/>
      <c r="G63" s="7"/>
    </row>
    <row r="64" spans="1:13" ht="5.25" customHeight="1" thickBot="1" x14ac:dyDescent="0.3">
      <c r="C64" s="14"/>
      <c r="M64" s="17"/>
    </row>
    <row r="65" spans="1:7" ht="22.8" x14ac:dyDescent="0.4">
      <c r="A65" s="104" t="s">
        <v>52</v>
      </c>
      <c r="B65" s="105"/>
      <c r="C65" s="105"/>
      <c r="D65" s="105"/>
      <c r="E65" s="105"/>
      <c r="F65" s="106"/>
      <c r="G65" s="87"/>
    </row>
    <row r="66" spans="1:7" s="50" customFormat="1" ht="10.199999999999999" x14ac:dyDescent="0.2">
      <c r="A66" s="88" t="s">
        <v>53</v>
      </c>
      <c r="B66" s="89" t="s">
        <v>54</v>
      </c>
      <c r="D66" s="90">
        <f>+D12</f>
        <v>0</v>
      </c>
      <c r="F66" s="55"/>
      <c r="G66" s="91"/>
    </row>
    <row r="67" spans="1:7" s="50" customFormat="1" ht="10.199999999999999" x14ac:dyDescent="0.2">
      <c r="A67" s="45"/>
      <c r="B67" s="89" t="s">
        <v>55</v>
      </c>
      <c r="D67" s="90">
        <f>+D66/260/8-D68</f>
        <v>0</v>
      </c>
      <c r="F67" s="55"/>
      <c r="G67" s="91"/>
    </row>
    <row r="68" spans="1:7" s="50" customFormat="1" ht="10.199999999999999" x14ac:dyDescent="0.2">
      <c r="A68" s="45"/>
      <c r="B68" s="89" t="s">
        <v>56</v>
      </c>
      <c r="D68" s="90">
        <f>+C13/D70</f>
        <v>0</v>
      </c>
      <c r="F68" s="55"/>
      <c r="G68" s="91"/>
    </row>
    <row r="69" spans="1:7" s="50" customFormat="1" ht="10.199999999999999" x14ac:dyDescent="0.2">
      <c r="A69" s="45"/>
      <c r="B69" s="89" t="s">
        <v>57</v>
      </c>
      <c r="D69" s="92">
        <f>+C45-C50</f>
        <v>19</v>
      </c>
      <c r="F69" s="55"/>
      <c r="G69" s="91"/>
    </row>
    <row r="70" spans="1:7" s="50" customFormat="1" ht="10.8" thickBot="1" x14ac:dyDescent="0.25">
      <c r="A70" s="93"/>
      <c r="B70" s="94" t="s">
        <v>58</v>
      </c>
      <c r="C70" s="95"/>
      <c r="D70" s="96">
        <v>8</v>
      </c>
      <c r="E70" s="97"/>
      <c r="F70" s="98"/>
      <c r="G70" s="91"/>
    </row>
    <row r="71" spans="1:7" ht="5.25" customHeight="1" thickBot="1" x14ac:dyDescent="0.3">
      <c r="C71" s="8"/>
      <c r="D71" s="8"/>
      <c r="G71" s="87"/>
    </row>
    <row r="72" spans="1:7" ht="22.8" x14ac:dyDescent="0.4">
      <c r="A72" s="104" t="s">
        <v>59</v>
      </c>
      <c r="B72" s="105"/>
      <c r="C72" s="105"/>
      <c r="D72" s="105"/>
      <c r="E72" s="105"/>
      <c r="F72" s="106"/>
      <c r="G72" s="87"/>
    </row>
    <row r="73" spans="1:7" s="100" customFormat="1" ht="15.6" x14ac:dyDescent="0.3">
      <c r="A73" s="111" t="s">
        <v>60</v>
      </c>
      <c r="B73" s="112"/>
      <c r="C73" s="112"/>
      <c r="D73" s="112"/>
      <c r="E73" s="112"/>
      <c r="F73" s="113"/>
      <c r="G73" s="99"/>
    </row>
    <row r="74" spans="1:7" s="50" customFormat="1" ht="10.199999999999999" x14ac:dyDescent="0.2">
      <c r="A74" s="45"/>
      <c r="B74" s="89" t="s">
        <v>61</v>
      </c>
      <c r="D74" s="90">
        <f>+E7*8</f>
        <v>0</v>
      </c>
      <c r="F74" s="55"/>
      <c r="G74" s="91"/>
    </row>
    <row r="75" spans="1:7" s="50" customFormat="1" ht="10.8" thickBot="1" x14ac:dyDescent="0.25">
      <c r="A75" s="45"/>
      <c r="B75" s="89" t="s">
        <v>62</v>
      </c>
      <c r="D75" s="101">
        <f>+E8*8</f>
        <v>0</v>
      </c>
      <c r="F75" s="55"/>
      <c r="G75" s="91"/>
    </row>
    <row r="76" spans="1:7" s="50" customFormat="1" ht="10.199999999999999" x14ac:dyDescent="0.2">
      <c r="A76" s="45"/>
      <c r="B76" s="89" t="s">
        <v>63</v>
      </c>
      <c r="D76" s="90">
        <f>+D75+D74</f>
        <v>0</v>
      </c>
      <c r="F76" s="55"/>
      <c r="G76" s="91"/>
    </row>
    <row r="77" spans="1:7" s="50" customFormat="1" ht="6" customHeight="1" x14ac:dyDescent="0.2">
      <c r="A77" s="45"/>
      <c r="B77" s="89"/>
      <c r="D77" s="90"/>
      <c r="F77" s="55"/>
      <c r="G77" s="91"/>
    </row>
    <row r="78" spans="1:7" s="50" customFormat="1" ht="10.199999999999999" x14ac:dyDescent="0.2">
      <c r="A78" s="45"/>
      <c r="B78" s="89" t="s">
        <v>64</v>
      </c>
      <c r="C78" s="102"/>
      <c r="D78" s="102">
        <f>(+D12-(C13*260))/C50</f>
        <v>0</v>
      </c>
      <c r="F78" s="55"/>
      <c r="G78" s="91"/>
    </row>
    <row r="79" spans="1:7" s="50" customFormat="1" ht="10.199999999999999" x14ac:dyDescent="0.2">
      <c r="A79" s="45"/>
      <c r="B79" s="89" t="s">
        <v>65</v>
      </c>
      <c r="C79" s="102"/>
      <c r="D79" s="102">
        <f>+D78*D15</f>
        <v>0</v>
      </c>
      <c r="F79" s="55"/>
      <c r="G79" s="91"/>
    </row>
    <row r="80" spans="1:7" s="50" customFormat="1" ht="10.199999999999999" x14ac:dyDescent="0.2">
      <c r="A80" s="45"/>
      <c r="B80" s="89" t="s">
        <v>66</v>
      </c>
      <c r="C80" s="102"/>
      <c r="D80" s="90">
        <f>+D52</f>
        <v>0</v>
      </c>
      <c r="F80" s="55"/>
      <c r="G80" s="91"/>
    </row>
    <row r="81" spans="1:7" s="50" customFormat="1" ht="10.199999999999999" x14ac:dyDescent="0.2">
      <c r="A81" s="45"/>
      <c r="B81" s="89" t="s">
        <v>67</v>
      </c>
      <c r="C81" s="102"/>
      <c r="D81" s="90">
        <f>+C13*260/C50</f>
        <v>0</v>
      </c>
      <c r="F81" s="55"/>
      <c r="G81" s="91"/>
    </row>
    <row r="82" spans="1:7" s="50" customFormat="1" ht="10.199999999999999" x14ac:dyDescent="0.2">
      <c r="A82" s="45"/>
      <c r="B82" s="89" t="s">
        <v>68</v>
      </c>
      <c r="C82" s="102"/>
      <c r="D82" s="90">
        <f>SUM(D23:D39)/C50</f>
        <v>0</v>
      </c>
      <c r="F82" s="55"/>
      <c r="G82" s="91"/>
    </row>
    <row r="83" spans="1:7" s="50" customFormat="1" ht="10.199999999999999" x14ac:dyDescent="0.2">
      <c r="A83" s="45"/>
      <c r="B83" s="89" t="s">
        <v>69</v>
      </c>
      <c r="C83" s="102"/>
      <c r="D83" s="90">
        <f>+D19/C50</f>
        <v>0</v>
      </c>
      <c r="F83" s="55"/>
      <c r="G83" s="91"/>
    </row>
    <row r="84" spans="1:7" s="50" customFormat="1" ht="10.8" thickBot="1" x14ac:dyDescent="0.25">
      <c r="A84" s="45"/>
      <c r="B84" s="89" t="s">
        <v>70</v>
      </c>
      <c r="C84" s="102"/>
      <c r="D84" s="95">
        <f>+D41/C50</f>
        <v>0</v>
      </c>
      <c r="F84" s="55"/>
      <c r="G84" s="91"/>
    </row>
    <row r="85" spans="1:7" s="50" customFormat="1" ht="10.199999999999999" x14ac:dyDescent="0.2">
      <c r="A85" s="45"/>
      <c r="B85" s="89" t="s">
        <v>71</v>
      </c>
      <c r="C85" s="102"/>
      <c r="D85" s="102">
        <f>SUM(D78:D84)</f>
        <v>0</v>
      </c>
      <c r="F85" s="55"/>
      <c r="G85" s="91"/>
    </row>
    <row r="86" spans="1:7" s="50" customFormat="1" ht="7.5" customHeight="1" thickBot="1" x14ac:dyDescent="0.25">
      <c r="A86" s="45"/>
      <c r="B86" s="89"/>
      <c r="C86" s="102"/>
      <c r="D86" s="95"/>
      <c r="F86" s="55"/>
      <c r="G86" s="91"/>
    </row>
    <row r="87" spans="1:7" s="50" customFormat="1" ht="10.8" thickBot="1" x14ac:dyDescent="0.25">
      <c r="A87" s="93"/>
      <c r="B87" s="94" t="s">
        <v>72</v>
      </c>
      <c r="C87" s="95"/>
      <c r="D87" s="101">
        <f>+D76-D85</f>
        <v>0</v>
      </c>
      <c r="E87" s="97"/>
      <c r="F87" s="98"/>
      <c r="G87" s="91"/>
    </row>
    <row r="88" spans="1:7" ht="5.25" customHeight="1" thickBot="1" x14ac:dyDescent="0.3">
      <c r="C88" s="87"/>
      <c r="D88" s="8"/>
      <c r="G88" s="87"/>
    </row>
    <row r="89" spans="1:7" ht="22.8" x14ac:dyDescent="0.4">
      <c r="A89" s="104" t="s">
        <v>73</v>
      </c>
      <c r="B89" s="105"/>
      <c r="C89" s="105"/>
      <c r="D89" s="105"/>
      <c r="E89" s="105"/>
      <c r="F89" s="106"/>
      <c r="G89" s="87"/>
    </row>
    <row r="90" spans="1:7" s="50" customFormat="1" ht="10.199999999999999" x14ac:dyDescent="0.2">
      <c r="A90" s="45"/>
      <c r="B90" s="89" t="s">
        <v>74</v>
      </c>
      <c r="D90" s="90">
        <f>+E7</f>
        <v>0</v>
      </c>
      <c r="F90" s="55"/>
      <c r="G90" s="91"/>
    </row>
    <row r="91" spans="1:7" s="50" customFormat="1" ht="10.199999999999999" x14ac:dyDescent="0.2">
      <c r="A91" s="45"/>
      <c r="B91" s="89" t="s">
        <v>75</v>
      </c>
      <c r="D91" s="90">
        <f>+D67</f>
        <v>0</v>
      </c>
      <c r="F91" s="55"/>
      <c r="G91" s="91"/>
    </row>
    <row r="92" spans="1:7" s="50" customFormat="1" ht="10.8" thickBot="1" x14ac:dyDescent="0.25">
      <c r="A92" s="93"/>
      <c r="B92" s="94" t="s">
        <v>76</v>
      </c>
      <c r="C92" s="97"/>
      <c r="D92" s="101">
        <f>+D68</f>
        <v>0</v>
      </c>
      <c r="E92" s="97"/>
      <c r="F92" s="98"/>
      <c r="G92" s="91"/>
    </row>
  </sheetData>
  <sheetProtection algorithmName="SHA-512" hashValue="+M9+JZs5MiIwjE8sQgNC8CbLL5ERS2z0MRZYFP1OMqTMoKb+EloODyA9JxvnMnJg3QF/ekX7jag05RWjn4A/VQ==" saltValue="25EHh7tb4Gl1dAcsLR+A8g==" spinCount="100000" sheet="1" objects="1" scenarios="1"/>
  <protectedRanges>
    <protectedRange sqref="E7" name="Range1_1"/>
    <protectedRange sqref="E8" name="Range2"/>
    <protectedRange sqref="D15" name="Range4"/>
    <protectedRange sqref="D15" name="Range3_1"/>
    <protectedRange sqref="D15" name="Range4_1"/>
    <protectedRange sqref="D12 C13 D19 E52 C49 D41" name="Range1"/>
    <protectedRange sqref="D26 D32 D35 D38 D23:D24" name="Range1_1_7"/>
    <protectedRange sqref="D29" name="Range1_1_2"/>
  </protectedRanges>
  <mergeCells count="6">
    <mergeCell ref="A89:F89"/>
    <mergeCell ref="A5:F5"/>
    <mergeCell ref="A15:C15"/>
    <mergeCell ref="A65:F65"/>
    <mergeCell ref="A72:F72"/>
    <mergeCell ref="A73:F73"/>
  </mergeCells>
  <dataValidations count="10">
    <dataValidation type="list" allowBlank="1" showInputMessage="1" showErrorMessage="1" sqref="D19" xr:uid="{4F09A0D8-3CAC-4354-BF23-FEDF80FEA973}">
      <formula1>$M$17:$M$18</formula1>
    </dataValidation>
    <dataValidation type="list" allowBlank="1" showInputMessage="1" showErrorMessage="1" sqref="D15" xr:uid="{30BD92DA-DA6C-4DDA-8A2F-F2872255DAC3}">
      <formula1>$M$12:$M$13</formula1>
    </dataValidation>
    <dataValidation type="list" allowBlank="1" showInputMessage="1" showErrorMessage="1" sqref="D39:D40" xr:uid="{CF18D39F-D4CA-4EE9-B9BD-5FDED6ED90DA}">
      <formula1>$M$56:$M$57</formula1>
    </dataValidation>
    <dataValidation type="list" allowBlank="1" showInputMessage="1" showErrorMessage="1" sqref="D38" xr:uid="{5B891E11-C940-4D14-94CE-1E16F9FEF9C1}">
      <formula1>$M$41:$M$42</formula1>
    </dataValidation>
    <dataValidation type="list" allowBlank="1" showInputMessage="1" showErrorMessage="1" sqref="D35" xr:uid="{CDCE86B6-A549-42C6-B621-67E76E537D2E}">
      <formula1>$M$38:$M$39</formula1>
    </dataValidation>
    <dataValidation type="list" allowBlank="1" showInputMessage="1" showErrorMessage="1" sqref="D32" xr:uid="{3AB021AB-7160-4F70-B5FE-4DB32173470E}">
      <formula1>$M$33:$M$34</formula1>
    </dataValidation>
    <dataValidation type="list" allowBlank="1" showInputMessage="1" showErrorMessage="1" sqref="D24" xr:uid="{52F220F6-9699-4BF0-BAD6-70BA4E429B05}">
      <formula1>$N$21:$N$22</formula1>
    </dataValidation>
    <dataValidation type="list" allowBlank="1" showInputMessage="1" showErrorMessage="1" sqref="D26" xr:uid="{9CEB16C7-5339-4382-98A7-84A8E4D35952}">
      <formula1>$M$25:$M$27</formula1>
    </dataValidation>
    <dataValidation type="list" allowBlank="1" showInputMessage="1" showErrorMessage="1" sqref="D23" xr:uid="{A531CDBA-9F71-4892-AA61-92A5E8106EEF}">
      <formula1>$M$21:$M$22</formula1>
    </dataValidation>
    <dataValidation type="list" allowBlank="1" showInputMessage="1" showErrorMessage="1" sqref="D29" xr:uid="{36685734-F810-49F4-8408-B7A4EB13ACA4}">
      <formula1>$M$29:$M$30</formula1>
    </dataValidation>
  </dataValidations>
  <pageMargins left="0.5" right="0.25" top="0.5" bottom="0.5" header="0.5" footer="0.5"/>
  <pageSetup scale="65" fitToWidth="0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A449116EF9547BD97597510C273DC" ma:contentTypeVersion="4" ma:contentTypeDescription="Create a new document." ma:contentTypeScope="" ma:versionID="02dd6c650cb0db7e4b3c6a40ce283222">
  <xsd:schema xmlns:xsd="http://www.w3.org/2001/XMLSchema" xmlns:xs="http://www.w3.org/2001/XMLSchema" xmlns:p="http://schemas.microsoft.com/office/2006/metadata/properties" xmlns:ns2="25cd8563-869c-400c-9cd7-139c86eba603" targetNamespace="http://schemas.microsoft.com/office/2006/metadata/properties" ma:root="true" ma:fieldsID="f2af02dfcbf5420718be1e81fa4512b0" ns2:_="">
    <xsd:import namespace="25cd8563-869c-400c-9cd7-139c86eba6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d8563-869c-400c-9cd7-139c86eba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5AA774-5373-45C7-A4A5-2E48E4FC8C07}">
  <ds:schemaRefs>
    <ds:schemaRef ds:uri="http://purl.org/dc/dcmitype/"/>
    <ds:schemaRef ds:uri="http://www.w3.org/XML/1998/namespace"/>
    <ds:schemaRef ds:uri="http://purl.org/dc/terms/"/>
    <ds:schemaRef ds:uri="25cd8563-869c-400c-9cd7-139c86eba603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8954A00-B872-4341-9BFC-E5BE2FAE57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4BF10-439A-4EE2-AF69-942D599CFB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d8563-869c-400c-9cd7-139c86eba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Model 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anthony.giardina</dc:creator>
  <cp:lastModifiedBy>Daniel Paulli</cp:lastModifiedBy>
  <dcterms:created xsi:type="dcterms:W3CDTF">2022-12-28T13:54:19Z</dcterms:created>
  <dcterms:modified xsi:type="dcterms:W3CDTF">2026-06-25T17:15:19Z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0x0101008A2A449116EF9547BD97597510C273DC</vt:lpwstr>
  </property>
</Properties>
</file>